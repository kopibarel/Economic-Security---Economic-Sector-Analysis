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<sst xmlns="http://schemas.openxmlformats.org/spreadsheetml/2006/main" count="46" uniqueCount="44">
  <si>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финанс</t>
  </si>
  <si>
    <t>покупат</t>
  </si>
  <si>
    <t>песонал</t>
  </si>
  <si>
    <t>технол</t>
  </si>
  <si>
    <t>name</t>
  </si>
  <si>
    <t>x1</t>
  </si>
  <si>
    <t>x2</t>
  </si>
  <si>
    <t>x3</t>
  </si>
  <si>
    <t>x4</t>
  </si>
  <si>
    <t>x5</t>
  </si>
  <si>
    <t>x6</t>
  </si>
  <si>
    <t>оборотные активы</t>
  </si>
  <si>
    <t>кратносрочные обязательства</t>
  </si>
  <si>
    <t>выручка</t>
  </si>
  <si>
    <t>сред деб задол</t>
  </si>
  <si>
    <t>расход опл труд</t>
  </si>
  <si>
    <t>капит расх</t>
  </si>
  <si>
    <t>внеобр акт</t>
  </si>
  <si>
    <t>итого активы</t>
  </si>
  <si>
    <t>выбираются компании с видом деятельности 61. ,рентабельность продаж берётся вычисленной,относительные параметры получаются делением на выручку</t>
  </si>
  <si>
    <t>проверка итогового актива</t>
  </si>
  <si>
    <t>АО "МаксимаТелеком"</t>
  </si>
  <si>
    <t>ПАО "МТС"</t>
  </si>
  <si>
    <t>ПАО "ВымпелКом" (Билайн)</t>
  </si>
  <si>
    <t>ПАО "МегаФон"</t>
  </si>
  <si>
    <t>ПАО "Ростелеком"</t>
  </si>
  <si>
    <t>капитальны расходы=насколько изменились основные средства</t>
  </si>
  <si>
    <t>ООО "Т2 РТК Холдинг" (Tele2)</t>
  </si>
  <si>
    <t>АО "ЭР-Телеком Холдинг"</t>
  </si>
  <si>
    <t>АО "Транстелеком"</t>
  </si>
  <si>
    <t>ООО "ГлобалТелеком"</t>
  </si>
  <si>
    <t>ПАО "МГТС"</t>
  </si>
  <si>
    <t>АО "Комителеком"</t>
  </si>
  <si>
    <t>ООО "Скай Линк"</t>
  </si>
  <si>
    <t>АО "Уралсвязьинформ"</t>
  </si>
  <si>
    <t>ООО "Эквант"</t>
  </si>
  <si>
    <t>ПАО "Центральный телеграф"</t>
  </si>
  <si>
    <t>ООО "Синтерра"</t>
  </si>
  <si>
    <t>АО "Мобайл Тренд"</t>
  </si>
  <si>
    <t>ООО "Интерсвязь"</t>
  </si>
  <si>
    <t>АО "Связьтранснефть"</t>
  </si>
  <si>
    <t>ООО "ТТК-Север"</t>
  </si>
  <si>
    <t>АО "Корпорация ТелеРосс"</t>
  </si>
  <si>
    <t>ООО "Дилайн Групп"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</si>
</sst>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0000_ "/>
    <numFmt numFmtId="181" formatCode="0.0000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sz val="11.25"/>
      <name val="Segoe UI"/>
      <charset val="134"/>
    </font>
    <font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vertical="center" wrapText="1"/>
    </xf>
    <xf numFmtId="180" fontId="3" fillId="0" borderId="1" xfId="0" applyNumberFormat="1" applyFont="1" applyFill="1" applyBorder="1" applyAlignment="1">
      <alignment vertical="center" wrapText="1"/>
    </xf>
    <xf numFmtId="181" fontId="4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abSelected="1" workbookViewId="0">
      <selection activeCell="R15" sqref="R15"/>
    </sheetView>
  </sheetViews>
  <sheetFormatPr defaultColWidth="8.72380952380952" defaultRowHeight="15"/>
  <cols>
    <col min="1" max="1" width="26.2761904761905" customWidth="1"/>
    <col min="2" max="2" width="11.8571428571429"/>
    <col min="3" max="3" width="13.1428571428571" customWidth="1"/>
    <col min="4" max="7" width="14.5714285714286"/>
    <col min="8" max="8" width="17.4285714285714" customWidth="1"/>
    <col min="9" max="9" width="12.7142857142857" customWidth="1"/>
    <col min="10" max="10" width="11.1428571428571" customWidth="1"/>
    <col min="11" max="11" width="14.5714285714286"/>
    <col min="12" max="12" width="15.5714285714286" customWidth="1"/>
    <col min="13" max="13" width="12.8571428571429" customWidth="1"/>
    <col min="14" max="14" width="11.7142857142857" customWidth="1"/>
    <col min="15" max="15" width="12" customWidth="1"/>
    <col min="19" max="19" width="17.7142857142857" customWidth="1"/>
  </cols>
  <sheetData>
    <row r="1" spans="2:15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0</v>
      </c>
      <c r="H1" s="2"/>
      <c r="I1" s="2"/>
      <c r="J1" s="2"/>
      <c r="K1" s="2"/>
      <c r="L1" s="2"/>
      <c r="M1" s="2"/>
      <c r="N1" s="2"/>
      <c r="O1" s="2"/>
    </row>
    <row r="2" spans="1:19">
      <c r="A2" s="3" t="s">
        <v>4</v>
      </c>
      <c r="B2" s="3" t="s">
        <v>5</v>
      </c>
      <c r="C2" s="3" t="s">
        <v>6</v>
      </c>
      <c r="D2" s="3" t="s">
        <v>7</v>
      </c>
      <c r="E2" s="4" t="s">
        <v>8</v>
      </c>
      <c r="F2" s="3" t="s">
        <v>9</v>
      </c>
      <c r="G2" s="3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8" t="s">
        <v>19</v>
      </c>
      <c r="Q2" s="8"/>
      <c r="R2" s="8"/>
      <c r="S2" s="9" t="s">
        <v>20</v>
      </c>
    </row>
    <row r="3" ht="41" customHeight="1" spans="1:19">
      <c r="A3" s="5" t="s">
        <v>21</v>
      </c>
      <c r="B3" s="6">
        <f>H3/I3</f>
        <v>0.639082678465138</v>
      </c>
      <c r="C3" s="6">
        <v>51.3</v>
      </c>
      <c r="D3" s="5">
        <f>K3/J3*365</f>
        <v>60.7242994386564</v>
      </c>
      <c r="E3" s="7">
        <v>26.3</v>
      </c>
      <c r="F3" s="5">
        <f>M3/J3*100</f>
        <v>17.7514487723147</v>
      </c>
      <c r="G3" s="5">
        <f>N3/O3*100</f>
        <v>60.0802535932261</v>
      </c>
      <c r="H3" s="5">
        <v>2121596</v>
      </c>
      <c r="I3" s="5">
        <v>3319752</v>
      </c>
      <c r="J3" s="5">
        <v>2190993</v>
      </c>
      <c r="K3" s="5">
        <v>364511</v>
      </c>
      <c r="L3" s="5">
        <v>575289</v>
      </c>
      <c r="M3" s="5">
        <v>388933</v>
      </c>
      <c r="N3" s="5">
        <v>3193057</v>
      </c>
      <c r="O3" s="5">
        <v>5314653</v>
      </c>
      <c r="P3" s="8"/>
      <c r="Q3" s="8"/>
      <c r="R3" s="8"/>
      <c r="S3" s="9">
        <f>H3+N3</f>
        <v>5314653</v>
      </c>
    </row>
    <row r="4" ht="16.5" spans="1:19">
      <c r="A4" s="5" t="s">
        <v>22</v>
      </c>
      <c r="B4" s="6">
        <f t="shared" ref="B4:B24" si="0">H4/I4</f>
        <v>0.510000025588512</v>
      </c>
      <c r="C4" s="6">
        <v>1.5</v>
      </c>
      <c r="D4" s="5">
        <f t="shared" ref="D4:D24" si="1">K4/J4*365</f>
        <v>13.7852534213487</v>
      </c>
      <c r="E4" s="7">
        <v>8.9</v>
      </c>
      <c r="F4" s="5">
        <f t="shared" ref="F4:F24" si="2">M4/J4*100</f>
        <v>16.5000000785671</v>
      </c>
      <c r="G4" s="5">
        <f t="shared" ref="G4:G24" si="3">N4/O4*100</f>
        <v>27.9976808704469</v>
      </c>
      <c r="H4" s="5">
        <v>3098445309</v>
      </c>
      <c r="I4" s="5">
        <v>6075382654</v>
      </c>
      <c r="J4" s="5">
        <v>458207016</v>
      </c>
      <c r="K4" s="5">
        <v>17305479</v>
      </c>
      <c r="L4" s="5">
        <v>40780624</v>
      </c>
      <c r="M4" s="5">
        <v>75604158</v>
      </c>
      <c r="N4" s="5">
        <v>1204812345</v>
      </c>
      <c r="O4" s="5">
        <v>4303257654</v>
      </c>
      <c r="P4" s="8"/>
      <c r="Q4" s="8"/>
      <c r="R4" s="8"/>
      <c r="S4" s="9">
        <f>H4+N4</f>
        <v>4303257654</v>
      </c>
    </row>
    <row r="5" ht="61" customHeight="1" spans="1:19">
      <c r="A5" s="5" t="s">
        <v>23</v>
      </c>
      <c r="B5" s="6">
        <f t="shared" si="0"/>
        <v>0.32</v>
      </c>
      <c r="C5" s="6">
        <v>1.1</v>
      </c>
      <c r="D5" s="5">
        <f t="shared" si="1"/>
        <v>10.5042685560313</v>
      </c>
      <c r="E5" s="7">
        <v>5.6</v>
      </c>
      <c r="F5" s="5">
        <f t="shared" si="2"/>
        <v>22.1</v>
      </c>
      <c r="G5" s="5">
        <f t="shared" si="3"/>
        <v>32.0025829812663</v>
      </c>
      <c r="H5" s="5">
        <v>2210000000</v>
      </c>
      <c r="I5" s="5">
        <v>6906250000</v>
      </c>
      <c r="J5" s="5">
        <v>303120744000</v>
      </c>
      <c r="K5" s="5">
        <v>8723456712</v>
      </c>
      <c r="L5" s="5">
        <v>16974761664</v>
      </c>
      <c r="M5" s="5">
        <v>66989684424</v>
      </c>
      <c r="N5" s="5">
        <v>1040123456</v>
      </c>
      <c r="O5" s="5">
        <v>3250123456</v>
      </c>
      <c r="P5" s="8"/>
      <c r="Q5" s="8"/>
      <c r="R5" s="8"/>
      <c r="S5" s="9">
        <f t="shared" ref="S5:S24" si="4">H5+N5</f>
        <v>3250123456</v>
      </c>
    </row>
    <row r="6" ht="16.5" spans="1:19">
      <c r="A6" s="5" t="s">
        <v>24</v>
      </c>
      <c r="B6" s="6">
        <f t="shared" si="0"/>
        <v>0.439940462613265</v>
      </c>
      <c r="C6" s="6">
        <v>1.3</v>
      </c>
      <c r="D6" s="5">
        <f t="shared" si="1"/>
        <v>12.2972972968131</v>
      </c>
      <c r="E6" s="7">
        <v>8.1</v>
      </c>
      <c r="F6" s="5">
        <f t="shared" si="2"/>
        <v>25.3</v>
      </c>
      <c r="G6" s="5">
        <f t="shared" si="3"/>
        <v>50.9988283307059</v>
      </c>
      <c r="H6" s="5">
        <v>2116913517</v>
      </c>
      <c r="I6" s="5">
        <v>4811818182</v>
      </c>
      <c r="J6" s="5">
        <v>444000000000</v>
      </c>
      <c r="K6" s="5">
        <v>14958904109</v>
      </c>
      <c r="L6" s="5">
        <v>35964000000</v>
      </c>
      <c r="M6" s="5">
        <v>112332000000</v>
      </c>
      <c r="N6" s="5">
        <v>2203212345</v>
      </c>
      <c r="O6" s="5">
        <v>4320123456</v>
      </c>
      <c r="P6" s="8"/>
      <c r="Q6" s="8"/>
      <c r="R6" s="8"/>
      <c r="S6" s="9">
        <f t="shared" si="4"/>
        <v>4320125862</v>
      </c>
    </row>
    <row r="7" ht="31" customHeight="1" spans="1:19">
      <c r="A7" s="5" t="s">
        <v>25</v>
      </c>
      <c r="B7" s="6">
        <f t="shared" si="0"/>
        <v>0.549838160829021</v>
      </c>
      <c r="C7" s="6">
        <v>1.8</v>
      </c>
      <c r="D7" s="5">
        <f t="shared" si="1"/>
        <v>7.89762336365021</v>
      </c>
      <c r="E7" s="7">
        <v>4.3</v>
      </c>
      <c r="F7" s="5">
        <f t="shared" si="2"/>
        <v>19.2</v>
      </c>
      <c r="G7" s="5">
        <f t="shared" si="3"/>
        <v>37.9993598613017</v>
      </c>
      <c r="H7" s="5">
        <v>3348114517</v>
      </c>
      <c r="I7" s="5">
        <v>6089272727</v>
      </c>
      <c r="J7" s="5">
        <v>820500000000</v>
      </c>
      <c r="K7" s="5">
        <v>17753424575</v>
      </c>
      <c r="L7" s="5">
        <v>35281500000</v>
      </c>
      <c r="M7" s="5">
        <v>157536000000</v>
      </c>
      <c r="N7" s="5">
        <v>2052012345</v>
      </c>
      <c r="O7" s="5">
        <v>5400123456</v>
      </c>
      <c r="P7" s="8" t="s">
        <v>26</v>
      </c>
      <c r="Q7" s="8"/>
      <c r="R7" s="8"/>
      <c r="S7" s="9">
        <f t="shared" si="4"/>
        <v>5400126862</v>
      </c>
    </row>
    <row r="8" ht="33" spans="1:19">
      <c r="A8" s="5" t="s">
        <v>27</v>
      </c>
      <c r="B8" s="6">
        <f t="shared" si="0"/>
        <v>0.409914541319079</v>
      </c>
      <c r="C8" s="6">
        <v>1.2</v>
      </c>
      <c r="D8" s="5">
        <f t="shared" si="1"/>
        <v>14.6980102077354</v>
      </c>
      <c r="E8" s="7">
        <v>10.5</v>
      </c>
      <c r="F8" s="5">
        <f t="shared" si="2"/>
        <v>17.9</v>
      </c>
      <c r="G8" s="5">
        <f t="shared" si="3"/>
        <v>34.9863611570069</v>
      </c>
      <c r="H8" s="5">
        <v>614386913</v>
      </c>
      <c r="I8" s="5">
        <v>1498817073</v>
      </c>
      <c r="J8" s="5">
        <v>516667000</v>
      </c>
      <c r="K8" s="5">
        <v>20805416</v>
      </c>
      <c r="L8" s="5">
        <v>54250035</v>
      </c>
      <c r="M8" s="5">
        <v>92483393</v>
      </c>
      <c r="N8" s="5">
        <v>330625432</v>
      </c>
      <c r="O8" s="5">
        <v>945012345</v>
      </c>
      <c r="P8" s="8"/>
      <c r="Q8" s="8"/>
      <c r="R8" s="8"/>
      <c r="S8" s="9">
        <f t="shared" si="4"/>
        <v>945012345</v>
      </c>
    </row>
    <row r="9" ht="46" customHeight="1" spans="1:19">
      <c r="A9" s="5" t="s">
        <v>28</v>
      </c>
      <c r="B9" s="6">
        <f t="shared" si="0"/>
        <v>0.46999998947</v>
      </c>
      <c r="C9" s="6">
        <v>9.8</v>
      </c>
      <c r="D9" s="5">
        <f t="shared" si="1"/>
        <v>6.70309852128986</v>
      </c>
      <c r="E9" s="7">
        <v>14.5</v>
      </c>
      <c r="F9" s="5">
        <f t="shared" si="2"/>
        <v>9.1</v>
      </c>
      <c r="G9" s="5">
        <f t="shared" si="3"/>
        <v>41.9856751028964</v>
      </c>
      <c r="H9" s="5">
        <v>29012345</v>
      </c>
      <c r="I9" s="5">
        <v>61728395</v>
      </c>
      <c r="J9" s="5">
        <v>56130000</v>
      </c>
      <c r="K9" s="5">
        <v>1030808</v>
      </c>
      <c r="L9" s="5">
        <v>8138850</v>
      </c>
      <c r="M9" s="5">
        <v>5107830</v>
      </c>
      <c r="N9" s="5">
        <v>20987654</v>
      </c>
      <c r="O9" s="5">
        <v>49987654</v>
      </c>
      <c r="S9" s="9">
        <f t="shared" si="4"/>
        <v>49999999</v>
      </c>
    </row>
    <row r="10" ht="16.5" spans="1:19">
      <c r="A10" s="5" t="s">
        <v>29</v>
      </c>
      <c r="B10" s="6">
        <f t="shared" si="0"/>
        <v>0.6</v>
      </c>
      <c r="C10" s="6">
        <v>2.3</v>
      </c>
      <c r="D10" s="5">
        <f t="shared" si="1"/>
        <v>6.29751628081421</v>
      </c>
      <c r="E10" s="7">
        <v>3.5</v>
      </c>
      <c r="F10" s="5">
        <f t="shared" si="2"/>
        <v>4.8</v>
      </c>
      <c r="G10" s="5">
        <f t="shared" si="3"/>
        <v>25.0038560517347</v>
      </c>
      <c r="H10" s="5">
        <v>18000000</v>
      </c>
      <c r="I10" s="5">
        <v>30000000</v>
      </c>
      <c r="J10" s="5">
        <v>29329000</v>
      </c>
      <c r="K10" s="5">
        <v>506027</v>
      </c>
      <c r="L10" s="5">
        <v>1026515</v>
      </c>
      <c r="M10" s="5">
        <v>1407792</v>
      </c>
      <c r="N10" s="5">
        <v>6001234</v>
      </c>
      <c r="O10" s="5">
        <v>24001234</v>
      </c>
      <c r="S10" s="9">
        <f t="shared" si="4"/>
        <v>24001234</v>
      </c>
    </row>
    <row r="11" ht="16.5" spans="1:19">
      <c r="A11" s="5" t="s">
        <v>30</v>
      </c>
      <c r="B11" s="6">
        <f t="shared" si="0"/>
        <v>0.340026413073787</v>
      </c>
      <c r="C11" s="6">
        <v>0.9</v>
      </c>
      <c r="D11" s="5">
        <f t="shared" si="1"/>
        <v>17.8020641169854</v>
      </c>
      <c r="E11" s="7">
        <v>11.9</v>
      </c>
      <c r="F11" s="5">
        <f t="shared" si="2"/>
        <v>7.3</v>
      </c>
      <c r="G11" s="5">
        <f t="shared" si="3"/>
        <v>28.9965992469761</v>
      </c>
      <c r="H11" s="5">
        <v>397531</v>
      </c>
      <c r="I11" s="5">
        <v>1169118</v>
      </c>
      <c r="J11" s="5">
        <v>889000</v>
      </c>
      <c r="K11" s="5">
        <v>43359</v>
      </c>
      <c r="L11" s="5">
        <v>105791</v>
      </c>
      <c r="M11" s="5">
        <v>64897</v>
      </c>
      <c r="N11" s="5">
        <v>162345</v>
      </c>
      <c r="O11" s="5">
        <v>559876</v>
      </c>
      <c r="S11" s="9">
        <f t="shared" si="4"/>
        <v>559876</v>
      </c>
    </row>
    <row r="12" ht="16.5" spans="1:19">
      <c r="A12" s="5" t="s">
        <v>31</v>
      </c>
      <c r="B12" s="6">
        <f t="shared" si="0"/>
        <v>0.64003529301395</v>
      </c>
      <c r="C12" s="6">
        <v>2.1</v>
      </c>
      <c r="D12" s="5">
        <f t="shared" si="1"/>
        <v>8.49776786015625</v>
      </c>
      <c r="E12" s="7">
        <v>5.9</v>
      </c>
      <c r="F12" s="5">
        <f t="shared" si="2"/>
        <v>13.6</v>
      </c>
      <c r="G12" s="5">
        <f t="shared" si="3"/>
        <v>47.9989528499281</v>
      </c>
      <c r="H12" s="5">
        <v>23297145611</v>
      </c>
      <c r="I12" s="5">
        <v>36399782739</v>
      </c>
      <c r="J12" s="5">
        <v>44800000000</v>
      </c>
      <c r="K12" s="5">
        <v>1043013699</v>
      </c>
      <c r="L12" s="5">
        <v>2643200000</v>
      </c>
      <c r="M12" s="5">
        <v>6092800000</v>
      </c>
      <c r="N12" s="5">
        <v>21504123456</v>
      </c>
      <c r="O12" s="5">
        <v>44801234567</v>
      </c>
      <c r="S12" s="9">
        <f t="shared" si="4"/>
        <v>44801269067</v>
      </c>
    </row>
    <row r="13" ht="16.5" spans="1:19">
      <c r="A13" s="5" t="s">
        <v>32</v>
      </c>
      <c r="B13" s="6">
        <f t="shared" si="0"/>
        <v>0.519999744262421</v>
      </c>
      <c r="C13" s="6">
        <v>1.5</v>
      </c>
      <c r="D13" s="5">
        <f t="shared" si="1"/>
        <v>5.88438271070516</v>
      </c>
      <c r="E13" s="7">
        <v>3.2</v>
      </c>
      <c r="F13" s="5">
        <f t="shared" si="2"/>
        <v>4.10003895935241</v>
      </c>
      <c r="G13" s="5">
        <f t="shared" si="3"/>
        <v>18.0001445079421</v>
      </c>
      <c r="H13" s="5">
        <v>488000</v>
      </c>
      <c r="I13" s="5">
        <v>938462</v>
      </c>
      <c r="J13" s="5">
        <v>924040</v>
      </c>
      <c r="K13" s="5">
        <v>14897</v>
      </c>
      <c r="L13" s="5">
        <v>29569</v>
      </c>
      <c r="M13" s="5">
        <v>37886</v>
      </c>
      <c r="N13" s="5">
        <v>107123</v>
      </c>
      <c r="O13" s="5">
        <v>595123</v>
      </c>
      <c r="S13" s="9">
        <f t="shared" si="4"/>
        <v>595123</v>
      </c>
    </row>
    <row r="14" ht="16.5" spans="1:19">
      <c r="A14" s="5" t="s">
        <v>33</v>
      </c>
      <c r="B14" s="6">
        <f t="shared" si="0"/>
        <v>0.299977746888596</v>
      </c>
      <c r="C14" s="6">
        <v>0.8</v>
      </c>
      <c r="D14" s="5">
        <f t="shared" si="1"/>
        <v>15.8774844782487</v>
      </c>
      <c r="E14" s="7">
        <v>12.5</v>
      </c>
      <c r="F14" s="5">
        <f t="shared" si="2"/>
        <v>5.90000121500989</v>
      </c>
      <c r="G14" s="5">
        <f t="shared" si="3"/>
        <v>22.9663526862616</v>
      </c>
      <c r="H14" s="5">
        <v>465069</v>
      </c>
      <c r="I14" s="5">
        <v>1550345</v>
      </c>
      <c r="J14" s="5">
        <v>1152254</v>
      </c>
      <c r="K14" s="5">
        <v>50123</v>
      </c>
      <c r="L14" s="5">
        <v>144032</v>
      </c>
      <c r="M14" s="5">
        <v>67983</v>
      </c>
      <c r="N14" s="5">
        <v>140123</v>
      </c>
      <c r="O14" s="5">
        <v>610123</v>
      </c>
      <c r="S14" s="9">
        <f t="shared" si="4"/>
        <v>605192</v>
      </c>
    </row>
    <row r="15" ht="16.5" spans="1:19">
      <c r="A15" s="5" t="s">
        <v>34</v>
      </c>
      <c r="B15" s="6">
        <f t="shared" si="0"/>
        <v>0.56000052185008</v>
      </c>
      <c r="C15" s="6">
        <v>1.8</v>
      </c>
      <c r="D15" s="5">
        <f t="shared" si="1"/>
        <v>7.19780219601648</v>
      </c>
      <c r="E15" s="7">
        <v>4.5</v>
      </c>
      <c r="F15" s="5">
        <f t="shared" si="2"/>
        <v>10.5</v>
      </c>
      <c r="G15" s="5">
        <f t="shared" si="3"/>
        <v>35.9999041247263</v>
      </c>
      <c r="H15" s="5">
        <v>21427311111</v>
      </c>
      <c r="I15" s="5">
        <v>38263019899</v>
      </c>
      <c r="J15" s="5">
        <v>36400000000</v>
      </c>
      <c r="K15" s="5">
        <v>717808219</v>
      </c>
      <c r="L15" s="5">
        <v>1638000000</v>
      </c>
      <c r="M15" s="5">
        <v>3822000000</v>
      </c>
      <c r="N15" s="5">
        <v>12052812345</v>
      </c>
      <c r="O15" s="5">
        <v>33480123456</v>
      </c>
      <c r="S15" s="9">
        <f t="shared" si="4"/>
        <v>33480123456</v>
      </c>
    </row>
    <row r="16" ht="16.5" spans="1:19">
      <c r="A16" s="5" t="s">
        <v>35</v>
      </c>
      <c r="B16" s="6">
        <f t="shared" si="0"/>
        <v>0.359999984940444</v>
      </c>
      <c r="C16" s="6">
        <v>1</v>
      </c>
      <c r="D16" s="5">
        <f t="shared" si="1"/>
        <v>18.4854932274662</v>
      </c>
      <c r="E16" s="7">
        <v>14.1</v>
      </c>
      <c r="F16" s="5">
        <f t="shared" si="2"/>
        <v>3.4</v>
      </c>
      <c r="G16" s="5">
        <f t="shared" si="3"/>
        <v>21.0242235506299</v>
      </c>
      <c r="H16" s="5">
        <v>23140123456</v>
      </c>
      <c r="I16" s="5">
        <v>64278123400</v>
      </c>
      <c r="J16" s="5">
        <v>51700000000</v>
      </c>
      <c r="K16" s="5">
        <v>2618356164</v>
      </c>
      <c r="L16" s="5">
        <v>7289700000</v>
      </c>
      <c r="M16" s="5">
        <v>1757800000</v>
      </c>
      <c r="N16" s="5">
        <v>6160123456</v>
      </c>
      <c r="O16" s="5">
        <v>29300123456</v>
      </c>
      <c r="S16" s="9">
        <f t="shared" si="4"/>
        <v>29300246912</v>
      </c>
    </row>
    <row r="17" ht="33" spans="1:19">
      <c r="A17" s="5" t="s">
        <v>36</v>
      </c>
      <c r="B17" s="6">
        <f t="shared" si="0"/>
        <v>0.689920787543348</v>
      </c>
      <c r="C17" s="6">
        <v>2.4</v>
      </c>
      <c r="D17" s="5">
        <f t="shared" si="1"/>
        <v>4.59986220472441</v>
      </c>
      <c r="E17" s="7">
        <v>2.8</v>
      </c>
      <c r="F17" s="5">
        <f t="shared" si="2"/>
        <v>2.1</v>
      </c>
      <c r="G17" s="5">
        <f t="shared" si="3"/>
        <v>15.0051118755757</v>
      </c>
      <c r="H17" s="5">
        <v>906598</v>
      </c>
      <c r="I17" s="5">
        <v>1314061</v>
      </c>
      <c r="J17" s="5">
        <v>1270000</v>
      </c>
      <c r="K17" s="5">
        <v>16005</v>
      </c>
      <c r="L17" s="5">
        <v>35560</v>
      </c>
      <c r="M17" s="5">
        <v>26670</v>
      </c>
      <c r="N17" s="5">
        <v>160123</v>
      </c>
      <c r="O17" s="5">
        <v>1067123</v>
      </c>
      <c r="S17" s="9">
        <f t="shared" si="4"/>
        <v>1066721</v>
      </c>
    </row>
    <row r="18" ht="16.5" spans="1:19">
      <c r="A18" s="5" t="s">
        <v>37</v>
      </c>
      <c r="B18" s="6">
        <f t="shared" si="0"/>
        <v>0.420030216700352</v>
      </c>
      <c r="C18" s="6">
        <v>1.4</v>
      </c>
      <c r="D18" s="5">
        <f t="shared" si="1"/>
        <v>11.6069297401347</v>
      </c>
      <c r="E18" s="7">
        <v>7.8</v>
      </c>
      <c r="F18" s="5">
        <f t="shared" si="2"/>
        <v>8.30004812319538</v>
      </c>
      <c r="G18" s="5">
        <f t="shared" si="3"/>
        <v>31.051091471119</v>
      </c>
      <c r="H18" s="5">
        <v>209065</v>
      </c>
      <c r="I18" s="5">
        <v>497738</v>
      </c>
      <c r="J18" s="5">
        <v>415600</v>
      </c>
      <c r="K18" s="5">
        <v>13216</v>
      </c>
      <c r="L18" s="5">
        <v>32417</v>
      </c>
      <c r="M18" s="5">
        <v>34495</v>
      </c>
      <c r="N18" s="5">
        <v>94123</v>
      </c>
      <c r="O18" s="5">
        <v>303123</v>
      </c>
      <c r="S18" s="9">
        <f t="shared" si="4"/>
        <v>303188</v>
      </c>
    </row>
    <row r="19" ht="16.5" spans="1:19">
      <c r="A19" s="5" t="s">
        <v>38</v>
      </c>
      <c r="B19" s="6">
        <f t="shared" si="0"/>
        <v>0.280034975541811</v>
      </c>
      <c r="C19" s="6">
        <v>0.9</v>
      </c>
      <c r="D19" s="5">
        <f t="shared" si="1"/>
        <v>19.7704344262295</v>
      </c>
      <c r="E19" s="7">
        <v>15.3</v>
      </c>
      <c r="F19" s="5">
        <f t="shared" si="2"/>
        <v>3.8</v>
      </c>
      <c r="G19" s="5">
        <f t="shared" si="3"/>
        <v>19.0069027020342</v>
      </c>
      <c r="H19" s="5">
        <v>465023</v>
      </c>
      <c r="I19" s="5">
        <v>1660589</v>
      </c>
      <c r="J19" s="5">
        <v>1220000</v>
      </c>
      <c r="K19" s="5">
        <v>66082</v>
      </c>
      <c r="L19" s="5">
        <v>186660</v>
      </c>
      <c r="M19" s="5">
        <v>46360</v>
      </c>
      <c r="N19" s="5">
        <v>109123</v>
      </c>
      <c r="O19" s="5">
        <v>574123</v>
      </c>
      <c r="S19" s="9">
        <f t="shared" si="4"/>
        <v>574146</v>
      </c>
    </row>
    <row r="20" ht="16.5" spans="1:19">
      <c r="A20" s="5" t="s">
        <v>39</v>
      </c>
      <c r="B20" s="6">
        <f t="shared" si="0"/>
        <v>0.579902788387153</v>
      </c>
      <c r="C20" s="6">
        <v>3.2</v>
      </c>
      <c r="D20" s="5">
        <f t="shared" si="1"/>
        <v>9.29164968461912</v>
      </c>
      <c r="E20" s="7">
        <v>6.8</v>
      </c>
      <c r="F20" s="5">
        <f t="shared" si="2"/>
        <v>11.2</v>
      </c>
      <c r="G20" s="5">
        <f t="shared" si="3"/>
        <v>43.2414196692289</v>
      </c>
      <c r="H20" s="5">
        <v>119188</v>
      </c>
      <c r="I20" s="5">
        <v>205531</v>
      </c>
      <c r="J20" s="5">
        <v>2061000</v>
      </c>
      <c r="K20" s="5">
        <v>52466</v>
      </c>
      <c r="L20" s="5">
        <v>140148</v>
      </c>
      <c r="M20" s="5">
        <v>230832</v>
      </c>
      <c r="N20" s="5">
        <v>908123</v>
      </c>
      <c r="O20" s="5">
        <v>2100123</v>
      </c>
      <c r="S20" s="9">
        <f t="shared" si="4"/>
        <v>1027311</v>
      </c>
    </row>
    <row r="21" ht="16.5" spans="1:19">
      <c r="A21" s="5" t="s">
        <v>40</v>
      </c>
      <c r="B21" s="6">
        <f t="shared" si="0"/>
        <v>0.8203037492389</v>
      </c>
      <c r="C21" s="6">
        <v>4.1</v>
      </c>
      <c r="D21" s="5">
        <f t="shared" si="1"/>
        <v>12.0941841939828</v>
      </c>
      <c r="E21" s="7">
        <v>9.3</v>
      </c>
      <c r="F21" s="5">
        <f t="shared" si="2"/>
        <v>8.89999889487259</v>
      </c>
      <c r="G21" s="5">
        <f t="shared" si="3"/>
        <v>67.0970815681178</v>
      </c>
      <c r="H21" s="5">
        <v>89537155</v>
      </c>
      <c r="I21" s="5">
        <v>109151220</v>
      </c>
      <c r="J21" s="5">
        <v>36285409</v>
      </c>
      <c r="K21" s="5">
        <v>1202308</v>
      </c>
      <c r="L21" s="5">
        <v>3374543</v>
      </c>
      <c r="M21" s="5">
        <v>3229401</v>
      </c>
      <c r="N21" s="5">
        <v>182512345</v>
      </c>
      <c r="O21" s="5">
        <v>272012345</v>
      </c>
      <c r="S21" s="9">
        <f t="shared" si="4"/>
        <v>272049500</v>
      </c>
    </row>
    <row r="22" ht="16.5" spans="1:19">
      <c r="A22" s="5" t="s">
        <v>41</v>
      </c>
      <c r="B22" s="6">
        <f t="shared" si="0"/>
        <v>0.489852256275446</v>
      </c>
      <c r="C22" s="6">
        <v>-2.1</v>
      </c>
      <c r="D22" s="5">
        <f t="shared" si="1"/>
        <v>21.5000005555556</v>
      </c>
      <c r="E22" s="7">
        <v>16.8</v>
      </c>
      <c r="F22" s="5">
        <f t="shared" si="2"/>
        <v>6.5</v>
      </c>
      <c r="G22" s="5">
        <f t="shared" si="3"/>
        <v>38.9869305964212</v>
      </c>
      <c r="H22" s="5">
        <v>384604000</v>
      </c>
      <c r="I22" s="5">
        <v>785142857</v>
      </c>
      <c r="J22" s="5">
        <v>144000000</v>
      </c>
      <c r="K22" s="5">
        <v>8482192</v>
      </c>
      <c r="L22" s="5">
        <v>24192000</v>
      </c>
      <c r="M22" s="5">
        <v>9360000</v>
      </c>
      <c r="N22" s="5">
        <v>246012345</v>
      </c>
      <c r="O22" s="5">
        <v>631012345</v>
      </c>
      <c r="S22" s="9">
        <f t="shared" si="4"/>
        <v>630616345</v>
      </c>
    </row>
    <row r="23" ht="33" spans="1:19">
      <c r="A23" s="5" t="s">
        <v>42</v>
      </c>
      <c r="B23" s="6">
        <f t="shared" si="0"/>
        <v>0.380059041996</v>
      </c>
      <c r="C23" s="6">
        <v>-8.7</v>
      </c>
      <c r="D23" s="5">
        <f t="shared" si="1"/>
        <v>35.2045980926431</v>
      </c>
      <c r="E23" s="7">
        <v>22.4</v>
      </c>
      <c r="F23" s="5">
        <f t="shared" si="2"/>
        <v>2.3</v>
      </c>
      <c r="G23" s="5">
        <f t="shared" si="3"/>
        <v>28.0017608712198</v>
      </c>
      <c r="H23" s="5">
        <v>207532</v>
      </c>
      <c r="I23" s="5">
        <v>546052</v>
      </c>
      <c r="J23" s="5">
        <v>734000</v>
      </c>
      <c r="K23" s="5">
        <v>70795</v>
      </c>
      <c r="L23" s="5">
        <v>164416</v>
      </c>
      <c r="M23" s="5">
        <v>16882</v>
      </c>
      <c r="N23" s="5">
        <v>136123</v>
      </c>
      <c r="O23" s="5">
        <v>486123</v>
      </c>
      <c r="S23" s="9">
        <f t="shared" si="4"/>
        <v>343655</v>
      </c>
    </row>
    <row r="24" ht="16.5" spans="1:19">
      <c r="A24" s="5" t="s">
        <v>43</v>
      </c>
      <c r="B24" s="6">
        <f t="shared" si="0"/>
        <v>0.709844679328725</v>
      </c>
      <c r="C24" s="6">
        <v>5.3</v>
      </c>
      <c r="D24" s="5">
        <f t="shared" si="1"/>
        <v>8.89875634565665</v>
      </c>
      <c r="E24" s="7">
        <v>11.2</v>
      </c>
      <c r="F24" s="5">
        <f t="shared" si="2"/>
        <v>14.7000320821303</v>
      </c>
      <c r="G24" s="5">
        <f t="shared" si="3"/>
        <v>53.1742436390441</v>
      </c>
      <c r="H24" s="5">
        <v>767883</v>
      </c>
      <c r="I24" s="5">
        <v>1081762</v>
      </c>
      <c r="J24" s="5">
        <v>1324725</v>
      </c>
      <c r="K24" s="5">
        <v>32297</v>
      </c>
      <c r="L24" s="5">
        <v>148369</v>
      </c>
      <c r="M24" s="5">
        <v>194735</v>
      </c>
      <c r="N24" s="5">
        <v>872123</v>
      </c>
      <c r="O24" s="5">
        <v>1640123</v>
      </c>
      <c r="S24" s="9">
        <f t="shared" si="4"/>
        <v>1640006</v>
      </c>
    </row>
  </sheetData>
  <mergeCells count="2">
    <mergeCell ref="P2:R6"/>
    <mergeCell ref="P7:R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nassa</dc:creator>
  <cp:lastModifiedBy>Саша Нашивочников</cp:lastModifiedBy>
  <dcterms:created xsi:type="dcterms:W3CDTF">2025-10-30T14:00:00Z</dcterms:created>
  <dcterms:modified xsi:type="dcterms:W3CDTF">2025-11-01T20:05:06Z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C41B376167DF40EAA0125D7618C506E8_11</vt:lpwstr>
  </property>
  <property fmtid="{D5CDD505-2E9C-101B-9397-08002B2CF9AE}" pid="3" name="KSOProductBuildVer">
    <vt:lpwstr>1049-12.2.0.23131</vt:lpwstr>
  </property>
</Properties>
</file>